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nu\Desktop\Practical_I2C\"/>
    </mc:Choice>
  </mc:AlternateContent>
  <bookViews>
    <workbookView xWindow="0" yWindow="0" windowWidth="16815" windowHeight="7755"/>
  </bookViews>
  <sheets>
    <sheet name="32 turns Coil" sheetId="1" r:id="rId1"/>
    <sheet name="16 turns Coi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<sst xmlns="http://schemas.openxmlformats.org/spreadsheetml/2006/main" count="23" uniqueCount="23">
  <si>
    <t>C_eq=(33+A)+C_Ext</t>
  </si>
  <si>
    <t>Data</t>
  </si>
  <si>
    <t>Level (cm)</t>
  </si>
  <si>
    <t>C_0+C_probe</t>
  </si>
  <si>
    <t>C_Eq</t>
  </si>
  <si>
    <t>C_0+C_probe+11</t>
  </si>
  <si>
    <t>C_0+C_probe+16.5</t>
  </si>
  <si>
    <t>C_0+C_probe+22</t>
  </si>
  <si>
    <t>C_0+C_probe+27.5</t>
  </si>
  <si>
    <t>C_0+C_probe+33</t>
  </si>
  <si>
    <t>F_sense (from DSO)</t>
  </si>
  <si>
    <t>F_sense (calculated)</t>
  </si>
  <si>
    <t>NA</t>
  </si>
  <si>
    <t>265.6/(23.7*10^-6*Data^2)</t>
  </si>
  <si>
    <t>32 turns Coil (L=23.7uH)</t>
  </si>
  <si>
    <t>(1/(2*3.14*F_sense)^2)*10^12</t>
  </si>
  <si>
    <t>Level : This level is obtained by poring the water to obtain the corresponding Data value</t>
  </si>
  <si>
    <t xml:space="preserve">L: Calculate by using calculated F_sensor Value using theoritical Relationship </t>
  </si>
  <si>
    <t>Find the capacitance value by using the following relation: 265.6/(23.7*10^-6*Data^2).</t>
  </si>
  <si>
    <t>Now Plot the graph between Capacitance Vs Water Level</t>
  </si>
  <si>
    <t>C_Eq (Calculated)</t>
  </si>
  <si>
    <t xml:space="preserve">(C_Eq (Calculated)- (C_0+C_probe))/Slope of C_Eq (Calculated) Vs Water Level </t>
  </si>
  <si>
    <t>Cross verification of Inductance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</si>
</sst>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83818897637795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'32 turns Coil'!$E$5:$E$9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2.7</c:v>
                </c:pt>
                <c:pt idx="3">
                  <c:v>4.2</c:v>
                </c:pt>
                <c:pt idx="4">
                  <c:v>5.8</c:v>
                </c:pt>
              </c:numCache>
            </c:numRef>
          </c:xVal>
          <c:yVal>
            <c:numRef>
              <c:f>'32 turns Coil'!$F$5:$F$9</c:f>
              <c:numCache>
                <c:formatCode>General</c:formatCode>
                <c:ptCount val="5"/>
                <c:pt idx="0">
                  <c:v>56.847815999372628</c:v>
                </c:pt>
                <c:pt idx="1">
                  <c:v>59.77284563282285</c:v>
                </c:pt>
                <c:pt idx="2">
                  <c:v>66.993568037328345</c:v>
                </c:pt>
                <c:pt idx="3">
                  <c:v>70.747904439612157</c:v>
                </c:pt>
                <c:pt idx="4">
                  <c:v>74.441698472555018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3696"/>
        <c:axId val="305414872"/>
      </c:scatterChart>
      <c:valAx>
        <c:axId val="30541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</a:t>
                </a:r>
                <a:r>
                  <a:rPr lang="en-US" baseline="0"/>
                  <a:t> level (in cm)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14872"/>
        <c:crosses val="autoZero"/>
        <c:crossBetween val="midCat"/>
      </c:valAx>
      <c:valAx>
        <c:axId val="30541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Capacitance (pF)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41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54111986001746"/>
          <c:y val="0.45911964129483807"/>
          <c:w val="0.2607922134733158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'32 turns Coil'!$F$4:$F$9</c:f>
              <c:numCache>
                <c:formatCode>General</c:formatCode>
                <c:ptCount val="6"/>
                <c:pt idx="0">
                  <c:v>45.922532146291218</c:v>
                </c:pt>
                <c:pt idx="1">
                  <c:v>56.847815999372628</c:v>
                </c:pt>
                <c:pt idx="2">
                  <c:v>59.77284563282285</c:v>
                </c:pt>
                <c:pt idx="3">
                  <c:v>66.993568037328345</c:v>
                </c:pt>
                <c:pt idx="4">
                  <c:v>70.747904439612157</c:v>
                </c:pt>
                <c:pt idx="5">
                  <c:v>74.441698472555018</c:v>
                </c:pt>
              </c:numCache>
            </c:numRef>
          </c:xVal>
          <c:yVal>
            <c:numRef>
              <c:f>'32 turns Coil'!$G$4:$G$9</c:f>
              <c:numCache>
                <c:formatCode>General</c:formatCode>
                <c:ptCount val="6"/>
                <c:pt idx="0">
                  <c:v>1.0914067515597923E-3</c:v>
                </c:pt>
                <c:pt idx="1">
                  <c:v>1.3523992455524174E-3</c:v>
                </c:pt>
                <c:pt idx="2">
                  <c:v>1.4170983023957949E-3</c:v>
                </c:pt>
                <c:pt idx="3">
                  <c:v>1.592703451293505E-3</c:v>
                </c:pt>
                <c:pt idx="4">
                  <c:v>1.6842915170938546E-3</c:v>
                </c:pt>
                <c:pt idx="5">
                  <c:v>1.7652340358907084E-3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1216"/>
        <c:axId val="372642288"/>
      </c:scatterChart>
      <c:valAx>
        <c:axId val="3674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Capacitance</a:t>
                </a:r>
                <a:r>
                  <a:rPr lang="en-US" baseline="0"/>
                  <a:t> (in pF)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42288"/>
        <c:crosses val="autoZero"/>
        <c:crossBetween val="midCat"/>
      </c:valAx>
      <c:valAx>
        <c:axId val="3726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1/(2*pi*f_sense)^2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9</xdr:row>
      <xdr:rowOff>33337</xdr:rowOff>
    </xdr:from>
    <xdr:to>
      <xdr:col>3</xdr:col>
      <xdr:colOff>1219200</xdr:colOff>
      <xdr:row>23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881062</xdr:colOff>
      <xdr:row>10</xdr:row>
      <xdr:rowOff>80962</xdr:rowOff>
    </xdr:from>
    <xdr:to>
      <xdr:col>7</xdr:col>
      <xdr:colOff>500062</xdr:colOff>
      <xdr:row>24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H6" sqref="H6"/>
    </sheetView>
  </sheetViews>
  <sheetFormatPr defaultRowHeight="15" x14ac:dyDescent="0.25"/>
  <cols>
    <col min="1" max="1" width="27" customWidth="1"/>
    <col min="3" max="3" width="18.7109375" bestFit="1" customWidth="1"/>
    <col min="4" max="4" width="19.28515625" bestFit="1" customWidth="1"/>
    <col min="5" max="5" width="10.140625" bestFit="1" customWidth="1"/>
    <col min="6" max="6" width="24.5703125" bestFit="1" customWidth="1"/>
    <col min="7" max="7" width="28" bestFit="1" customWidth="1"/>
    <col min="8" max="8" width="28.42578125" customWidth="1"/>
    <col min="10" max="10" width="24" customWidth="1"/>
  </cols>
  <sheetData>
    <row r="1" spans="1:10" ht="15" customHeight="1" x14ac:dyDescent="0.25">
      <c r="A1" s="1" t="s">
        <v>0</v>
      </c>
      <c r="B1" s="1"/>
      <c r="C1" s="1"/>
      <c r="D1" s="2"/>
      <c r="E1" s="2"/>
      <c r="F1" s="2"/>
      <c r="G1" s="12" t="s">
        <v>22</v>
      </c>
      <c r="H1" s="10" t="s">
        <v>21</v>
      </c>
    </row>
    <row r="2" spans="1:10" x14ac:dyDescent="0.25">
      <c r="A2" s="2"/>
      <c r="B2" s="3" t="s">
        <v>14</v>
      </c>
      <c r="C2" s="4"/>
      <c r="D2" s="5"/>
      <c r="E2" s="5"/>
      <c r="F2" s="5" t="s">
        <v>20</v>
      </c>
      <c r="G2" s="12"/>
      <c r="H2" s="10"/>
    </row>
    <row r="3" spans="1:10" x14ac:dyDescent="0.25">
      <c r="A3" s="2" t="s">
        <v>4</v>
      </c>
      <c r="B3" s="2" t="s">
        <v>1</v>
      </c>
      <c r="C3" s="2" t="s">
        <v>10</v>
      </c>
      <c r="D3" s="2" t="s">
        <v>11</v>
      </c>
      <c r="E3" s="2" t="s">
        <v>2</v>
      </c>
      <c r="F3" s="5" t="s">
        <v>13</v>
      </c>
      <c r="G3" s="7" t="s">
        <v>15</v>
      </c>
      <c r="H3" s="11"/>
      <c r="J3" s="8" t="s">
        <v>16</v>
      </c>
    </row>
    <row r="4" spans="1:10" x14ac:dyDescent="0.25">
      <c r="A4" s="2" t="s">
        <v>3</v>
      </c>
      <c r="B4" s="2">
        <v>494</v>
      </c>
      <c r="C4" s="2">
        <v>5.2</v>
      </c>
      <c r="D4" s="2">
        <v>4.82</v>
      </c>
      <c r="E4" s="2" t="s">
        <v>12</v>
      </c>
      <c r="F4" s="6">
        <f>265.6/(23.7*10^-6*B4^2)</f>
        <v>45.922532146291218</v>
      </c>
      <c r="G4" s="5">
        <f>(1/(2*3.14*D4*10^6)^2)*10^12</f>
        <v>1.0914067515597923E-3</v>
      </c>
      <c r="H4">
        <f>(F4-57.872)/2.988</f>
        <v>-3.9991525614821897</v>
      </c>
      <c r="J4" s="8"/>
    </row>
    <row r="5" spans="1:10" x14ac:dyDescent="0.25">
      <c r="A5" s="2" t="s">
        <v>5</v>
      </c>
      <c r="B5" s="2">
        <v>444</v>
      </c>
      <c r="C5" s="2">
        <v>4.67</v>
      </c>
      <c r="D5" s="2">
        <v>4.33</v>
      </c>
      <c r="E5" s="2">
        <v>0</v>
      </c>
      <c r="F5" s="6">
        <f t="shared" ref="F5:F9" si="0">265.6/(23.7*10^-6*B5^2)</f>
        <v>56.847815999372628</v>
      </c>
      <c r="G5" s="5">
        <f t="shared" ref="G5:G9" si="1">(1/(2*3.14*D5*10^6)^2)*10^12</f>
        <v>1.3523992455524174E-3</v>
      </c>
      <c r="H5">
        <f t="shared" ref="H5:H9" si="2">(F5-57.872)/2.988</f>
        <v>-0.3427657297949705</v>
      </c>
      <c r="J5" s="8"/>
    </row>
    <row r="6" spans="1:10" x14ac:dyDescent="0.25">
      <c r="A6" s="2" t="s">
        <v>6</v>
      </c>
      <c r="B6" s="2">
        <v>433</v>
      </c>
      <c r="C6" s="2">
        <v>4.5599999999999996</v>
      </c>
      <c r="D6" s="2">
        <v>4.2300000000000004</v>
      </c>
      <c r="E6" s="2">
        <v>0.5</v>
      </c>
      <c r="F6" s="6">
        <f t="shared" si="0"/>
        <v>59.77284563282285</v>
      </c>
      <c r="G6" s="5">
        <f t="shared" si="1"/>
        <v>1.4170983023957949E-3</v>
      </c>
      <c r="H6">
        <f t="shared" si="2"/>
        <v>0.63615985034231948</v>
      </c>
      <c r="J6" s="8"/>
    </row>
    <row r="7" spans="1:10" x14ac:dyDescent="0.25">
      <c r="A7" s="2" t="s">
        <v>7</v>
      </c>
      <c r="B7" s="2">
        <v>409</v>
      </c>
      <c r="C7" s="2">
        <v>4.3</v>
      </c>
      <c r="D7" s="2">
        <v>3.99</v>
      </c>
      <c r="E7" s="2">
        <v>2.7</v>
      </c>
      <c r="F7" s="6">
        <f t="shared" si="0"/>
        <v>66.993568037328345</v>
      </c>
      <c r="G7" s="5">
        <f t="shared" si="1"/>
        <v>1.592703451293505E-3</v>
      </c>
      <c r="H7">
        <f t="shared" si="2"/>
        <v>3.0527336135637029</v>
      </c>
      <c r="J7" s="8"/>
    </row>
    <row r="8" spans="1:10" x14ac:dyDescent="0.25">
      <c r="A8" s="2" t="s">
        <v>8</v>
      </c>
      <c r="B8" s="2">
        <v>398</v>
      </c>
      <c r="C8" s="2">
        <v>4.18</v>
      </c>
      <c r="D8" s="2">
        <v>3.88</v>
      </c>
      <c r="E8" s="2">
        <v>4.2</v>
      </c>
      <c r="F8" s="6">
        <f t="shared" si="0"/>
        <v>70.747904439612157</v>
      </c>
      <c r="G8" s="5">
        <f t="shared" si="1"/>
        <v>1.6842915170938546E-3</v>
      </c>
      <c r="H8">
        <f t="shared" si="2"/>
        <v>4.3092049664029979</v>
      </c>
    </row>
    <row r="9" spans="1:10" ht="15" customHeight="1" x14ac:dyDescent="0.25">
      <c r="A9" s="2" t="s">
        <v>9</v>
      </c>
      <c r="B9" s="2">
        <v>388</v>
      </c>
      <c r="C9" s="2">
        <v>4.08</v>
      </c>
      <c r="D9" s="2">
        <v>3.79</v>
      </c>
      <c r="E9" s="2">
        <v>5.8</v>
      </c>
      <c r="F9" s="6">
        <f t="shared" si="0"/>
        <v>74.441698472555018</v>
      </c>
      <c r="G9" s="5">
        <f t="shared" si="1"/>
        <v>1.7652340358907084E-3</v>
      </c>
      <c r="H9">
        <f t="shared" si="2"/>
        <v>5.5454144821134594</v>
      </c>
      <c r="J9" s="8" t="s">
        <v>17</v>
      </c>
    </row>
    <row r="10" spans="1:10" x14ac:dyDescent="0.25">
      <c r="J10" s="8"/>
    </row>
    <row r="11" spans="1:10" x14ac:dyDescent="0.25">
      <c r="J11" s="8"/>
    </row>
    <row r="12" spans="1:10" x14ac:dyDescent="0.25">
      <c r="J12" s="8"/>
    </row>
    <row r="13" spans="1:10" x14ac:dyDescent="0.25">
      <c r="J13" s="9"/>
    </row>
    <row r="14" spans="1:10" ht="15" customHeight="1" x14ac:dyDescent="0.25">
      <c r="J14" s="8" t="s">
        <v>18</v>
      </c>
    </row>
    <row r="15" spans="1:10" x14ac:dyDescent="0.25">
      <c r="J15" s="8"/>
    </row>
    <row r="16" spans="1:10" x14ac:dyDescent="0.25">
      <c r="J16" s="8"/>
    </row>
    <row r="17" spans="10:10" x14ac:dyDescent="0.25">
      <c r="J17" s="8"/>
    </row>
    <row r="18" spans="10:10" x14ac:dyDescent="0.25">
      <c r="J18" s="8"/>
    </row>
    <row r="19" spans="10:10" x14ac:dyDescent="0.25">
      <c r="J19" s="8"/>
    </row>
    <row r="21" spans="10:10" x14ac:dyDescent="0.25">
      <c r="J21" s="8" t="s">
        <v>19</v>
      </c>
    </row>
    <row r="22" spans="10:10" x14ac:dyDescent="0.25">
      <c r="J22" s="8"/>
    </row>
    <row r="23" spans="10:10" x14ac:dyDescent="0.25">
      <c r="J23" s="8"/>
    </row>
  </sheetData>
  <mergeCells count="8">
    <mergeCell ref="J14:J19"/>
    <mergeCell ref="J21:J23"/>
    <mergeCell ref="H1:H3"/>
    <mergeCell ref="G1:G2"/>
    <mergeCell ref="A1:C1"/>
    <mergeCell ref="B2:C2"/>
    <mergeCell ref="J3:J7"/>
    <mergeCell ref="J9:J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32 turns Coil</vt:lpstr>
      <vt:lpstr>16 turns Coil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2019-03-25T05:37:59Z</dcterms:created>
  <dcterms:modified xsi:type="dcterms:W3CDTF">2019-03-25T07:19:02Z</dcterms:modified>
</cp:coreProperties>
</file>